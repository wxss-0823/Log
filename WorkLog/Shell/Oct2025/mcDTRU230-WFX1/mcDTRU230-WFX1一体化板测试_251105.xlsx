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555" activeTab="5"/>
  </bookViews>
  <sheets>
    <sheet name="template" sheetId="1" r:id="rId1"/>
    <sheet name="3004" sheetId="2" r:id="rId2"/>
    <sheet name="3005" sheetId="3" r:id="rId3"/>
    <sheet name="3002" sheetId="4" r:id="rId4"/>
    <sheet name="3003" sheetId="5" r:id="rId5"/>
    <sheet name="300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<sst xmlns="http://schemas.openxmlformats.org/spreadsheetml/2006/main" count="160" uniqueCount="90">
  <si>
    <t>起振点(MHz)</t>
  </si>
  <si>
    <t>停振点(MHz)</t>
  </si>
  <si>
    <t>使用范围</t>
  </si>
  <si>
    <t>R</t>
  </si>
  <si>
    <t>T</t>
  </si>
  <si>
    <t>tx</t>
  </si>
  <si>
    <t>fb</t>
  </si>
  <si>
    <t>txdvga 8 write_fbdvga 16</t>
  </si>
  <si>
    <t>-19.74 dbfs</t>
  </si>
  <si>
    <t>-19.43 dbfs</t>
  </si>
  <si>
    <t>-19.72 dbfs</t>
  </si>
  <si>
    <t>-19.18 dbfs</t>
  </si>
  <si>
    <t>-19.35 dbfs</t>
  </si>
  <si>
    <t>-19.32 dbfs</t>
  </si>
  <si>
    <t>-19.31 dbfs</t>
  </si>
  <si>
    <t>-19.41 dbfs</t>
  </si>
  <si>
    <t>-19.84 dbfs</t>
  </si>
  <si>
    <t>-18.69 dbfs</t>
  </si>
  <si>
    <t>-19.20 dbfs</t>
  </si>
  <si>
    <t>-19.45 dbfs</t>
  </si>
  <si>
    <t>-19.90 dbfs</t>
  </si>
  <si>
    <t>-19.63 dbfs</t>
  </si>
  <si>
    <t>-20.29 dbfs</t>
  </si>
  <si>
    <t>-19.26 dbfs</t>
  </si>
  <si>
    <t>-19.29 dbfs</t>
  </si>
  <si>
    <t>2.79 dBm</t>
  </si>
  <si>
    <t>-12.14 dbfs</t>
  </si>
  <si>
    <t>-19.65 dbfs</t>
  </si>
  <si>
    <t>-19.83 dbfs</t>
  </si>
  <si>
    <t>-20.21 dbfs</t>
  </si>
  <si>
    <t>-20.98 dbfs</t>
  </si>
  <si>
    <t>-19.11 dbfs</t>
  </si>
  <si>
    <t>-19.25 dbfs</t>
  </si>
  <si>
    <t>-19.06 dbfs</t>
  </si>
  <si>
    <t>-19.69 dbfs</t>
  </si>
  <si>
    <t>-20.15 dbfs</t>
  </si>
  <si>
    <t>-19.08 dbfs</t>
  </si>
  <si>
    <t>-18.96 dbfs</t>
  </si>
  <si>
    <t>-19.21 dbfs</t>
  </si>
  <si>
    <t>-21.01 dbfs</t>
  </si>
  <si>
    <t>-20.35 dbfs</t>
  </si>
  <si>
    <t>-20.45 dbfs</t>
  </si>
  <si>
    <t>2.53 dBm</t>
  </si>
  <si>
    <t>-12.50 dbfs</t>
  </si>
  <si>
    <t>-18.82 dbfs</t>
  </si>
  <si>
    <t>-20.12 dbfs</t>
  </si>
  <si>
    <t>-20.30 dbfs</t>
  </si>
  <si>
    <t>-20.26 dbfs</t>
  </si>
  <si>
    <t>-19.24 dbfs</t>
  </si>
  <si>
    <t>-19.17 dbfs</t>
  </si>
  <si>
    <t>-19.85 dbfs</t>
  </si>
  <si>
    <t>-19.92 dbfs</t>
  </si>
  <si>
    <t>-20.06 dbfs</t>
  </si>
  <si>
    <t>-19.07 dbfs</t>
  </si>
  <si>
    <t>-20.57 dbfs</t>
  </si>
  <si>
    <t>-19.95 dbfs</t>
  </si>
  <si>
    <t>-20.02 dbfs</t>
  </si>
  <si>
    <t>-20.16 dbfs</t>
  </si>
  <si>
    <t>-19.46 dbfs</t>
  </si>
  <si>
    <t>2.49 dBm</t>
  </si>
  <si>
    <t>-12.45 dbfs</t>
  </si>
  <si>
    <t>-18.85 dbfs</t>
  </si>
  <si>
    <t>-20.23 dbfs</t>
  </si>
  <si>
    <t>-19.54 dbfs</t>
  </si>
  <si>
    <t>-20.10 dbfs</t>
  </si>
  <si>
    <t>-18.58 dbfs</t>
  </si>
  <si>
    <t>-19.09 dbfs</t>
  </si>
  <si>
    <t>-19.00 dbfs</t>
  </si>
  <si>
    <t>-19.64 dbfs</t>
  </si>
  <si>
    <t>-19.71 dbfs</t>
  </si>
  <si>
    <t>-19.61 dbfs</t>
  </si>
  <si>
    <t>-19.28 dbfs</t>
  </si>
  <si>
    <t>-20.03 dbfs</t>
  </si>
  <si>
    <t>2.46 dBm</t>
  </si>
  <si>
    <t>-20.04 dbfs</t>
  </si>
  <si>
    <t>-19.50 dbfs</t>
  </si>
  <si>
    <t>-19.44 dbfs</t>
  </si>
  <si>
    <t>-19.93 dbfs</t>
  </si>
  <si>
    <t>-19.34 dbfs</t>
  </si>
  <si>
    <t>-18.76 dbfs</t>
  </si>
  <si>
    <t>-19.37 dbfs</t>
  </si>
  <si>
    <t>-19.89 dbfs</t>
  </si>
  <si>
    <t>-19.19 dbfs</t>
  </si>
  <si>
    <t>-19.75 dbfs</t>
  </si>
  <si>
    <t>-18.94 dbfs</t>
  </si>
  <si>
    <t>-20.58 dbfs</t>
  </si>
  <si>
    <t>-21.03 dbfs</t>
  </si>
  <si>
    <t>-19.38 dbfs</t>
  </si>
  <si>
    <t>2.52 dBm</t>
  </si>
  <si>
    <t>-12.42 dbfs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</si>
</sst>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B1" sqref="$A1:$XFD1048576"/>
    </sheetView>
  </sheetViews>
  <sheetFormatPr defaultColWidth="9" defaultRowHeight="13.5" outlineLevelCol="7"/>
  <cols>
    <col min="1" max="1" width="9.25" style="2" customWidth="1"/>
    <col min="2" max="2" width="12.625" style="3" customWidth="1"/>
    <col min="3" max="3" width="12.25" style="1" customWidth="1"/>
    <col min="4" max="5" width="9" style="1"/>
    <col min="6" max="6" width="9.375" style="1" customWidth="1"/>
    <col min="7" max="8" width="6.375" style="4" customWidth="1"/>
    <col min="9" max="16384" width="9" style="1"/>
  </cols>
  <sheetData>
    <row r="1" s="1" customFormat="1" spans="1:8">
      <c r="A1" s="5"/>
      <c r="B1" s="6" t="s">
        <v>0</v>
      </c>
      <c r="C1" s="6" t="s">
        <v>1</v>
      </c>
      <c r="F1" s="7" t="s">
        <v>2</v>
      </c>
      <c r="G1" s="8">
        <f>223+43</f>
        <v>266</v>
      </c>
      <c r="H1" s="8">
        <f>228+45</f>
        <v>273</v>
      </c>
    </row>
    <row r="2" s="1" customFormat="1" spans="1:8">
      <c r="A2" s="5">
        <v>1</v>
      </c>
      <c r="B2" s="9"/>
      <c r="C2" s="9"/>
      <c r="F2" s="6" t="s">
        <v>3</v>
      </c>
      <c r="G2" s="8">
        <v>223</v>
      </c>
      <c r="H2" s="8">
        <v>228</v>
      </c>
    </row>
    <row r="3" s="1" customFormat="1" spans="1:8">
      <c r="A3" s="5">
        <v>2</v>
      </c>
      <c r="B3" s="9"/>
      <c r="C3" s="9"/>
      <c r="F3" s="7" t="s">
        <v>2</v>
      </c>
      <c r="G3" s="8">
        <f>230+90.3</f>
        <v>320.3</v>
      </c>
      <c r="H3" s="8">
        <f>235+90.3</f>
        <v>325.3</v>
      </c>
    </row>
    <row r="4" s="1" customFormat="1" spans="1:8">
      <c r="A4" s="5">
        <v>3</v>
      </c>
      <c r="B4" s="9"/>
      <c r="C4" s="9"/>
      <c r="F4" s="6" t="s">
        <v>4</v>
      </c>
      <c r="G4" s="8">
        <v>230</v>
      </c>
      <c r="H4" s="8">
        <v>235</v>
      </c>
    </row>
    <row r="5" s="1" customFormat="1" spans="1:8">
      <c r="A5" s="5">
        <v>4</v>
      </c>
      <c r="B5" s="9"/>
      <c r="C5" s="9"/>
    </row>
    <row r="6" s="1" customFormat="1" spans="1:8">
      <c r="A6" s="7" t="s">
        <v>5</v>
      </c>
      <c r="B6" s="9"/>
      <c r="C6" s="9"/>
      <c r="D6" s="1"/>
      <c r="E6" s="1"/>
      <c r="G6" s="4"/>
      <c r="H6" s="4"/>
    </row>
    <row r="7" s="1" customFormat="1" spans="1:8">
      <c r="A7" s="11"/>
      <c r="B7" s="12"/>
      <c r="C7" s="12"/>
      <c r="G7" s="4"/>
      <c r="H7" s="4"/>
    </row>
    <row r="8" s="1" customFormat="1" spans="1:8">
      <c r="A8" s="2"/>
      <c r="B8" s="3"/>
      <c r="G8" s="4"/>
      <c r="H8" s="4"/>
    </row>
    <row r="9" s="1" customFormat="1" spans="1:8">
      <c r="A9" s="5">
        <v>223</v>
      </c>
      <c r="B9" s="6"/>
      <c r="G9" s="4"/>
      <c r="H9" s="4"/>
    </row>
    <row r="10" s="1" customFormat="1" spans="1:8">
      <c r="A10" s="5"/>
      <c r="B10" s="6"/>
      <c r="G10" s="4"/>
      <c r="H10" s="4"/>
    </row>
    <row r="11" s="1" customFormat="1" spans="1:8">
      <c r="A11" s="5"/>
      <c r="B11" s="6"/>
      <c r="G11" s="4"/>
      <c r="H11" s="4"/>
    </row>
    <row r="12" s="1" customFormat="1" spans="1:8">
      <c r="A12" s="5"/>
      <c r="B12" s="6"/>
      <c r="G12" s="4"/>
      <c r="H12" s="4"/>
    </row>
    <row r="13" s="1" customFormat="1" spans="1:8">
      <c r="A13" s="5"/>
      <c r="B13" s="6"/>
      <c r="G13" s="4"/>
      <c r="H13" s="4"/>
    </row>
    <row r="14" s="1" customFormat="1" spans="1:8">
      <c r="A14" s="5"/>
      <c r="B14" s="6"/>
      <c r="G14" s="4"/>
      <c r="H14" s="4"/>
    </row>
    <row r="15" s="1" customFormat="1" spans="1:8">
      <c r="A15" s="2"/>
      <c r="B15" s="3"/>
      <c r="G15" s="4"/>
      <c r="H15" s="4"/>
    </row>
    <row r="16" s="1" customFormat="1" spans="1:8">
      <c r="A16" s="5">
        <v>225.5</v>
      </c>
      <c r="B16" s="6"/>
      <c r="G16" s="4"/>
      <c r="H16" s="4"/>
    </row>
    <row r="17" s="1" customFormat="1" spans="1:8">
      <c r="A17" s="5"/>
      <c r="B17" s="6"/>
      <c r="G17" s="4"/>
      <c r="H17" s="4"/>
    </row>
    <row r="18" s="1" customFormat="1" spans="1:8">
      <c r="A18" s="5"/>
      <c r="B18" s="6"/>
      <c r="G18" s="4"/>
      <c r="H18" s="4"/>
    </row>
    <row r="19" s="1" customFormat="1" spans="1:8">
      <c r="A19" s="5"/>
      <c r="B19" s="6"/>
      <c r="G19" s="4"/>
      <c r="H19" s="4"/>
    </row>
    <row r="20" s="1" customFormat="1" spans="1:8">
      <c r="A20" s="5"/>
      <c r="B20" s="6"/>
      <c r="G20" s="4"/>
      <c r="H20" s="4"/>
    </row>
    <row r="21" s="1" customFormat="1" spans="1:8">
      <c r="A21" s="5"/>
      <c r="B21" s="6"/>
      <c r="G21" s="4"/>
      <c r="H21" s="4"/>
    </row>
    <row r="22" s="1" customFormat="1" spans="1:8">
      <c r="A22" s="2"/>
      <c r="B22" s="3"/>
      <c r="G22" s="4"/>
      <c r="H22" s="4"/>
    </row>
    <row r="23" s="1" customFormat="1" spans="1:8">
      <c r="A23" s="5">
        <v>228</v>
      </c>
      <c r="B23" s="6"/>
      <c r="G23" s="4"/>
      <c r="H23" s="4"/>
    </row>
    <row r="24" s="1" customFormat="1" spans="1:8">
      <c r="A24" s="5"/>
      <c r="B24" s="6"/>
      <c r="C24" s="1"/>
      <c r="G24" s="4"/>
      <c r="H24" s="4"/>
    </row>
    <row r="25" s="1" customFormat="1" spans="1:8">
      <c r="A25" s="5"/>
      <c r="B25" s="6"/>
      <c r="C25" s="1"/>
      <c r="G25" s="4"/>
      <c r="H25" s="4"/>
    </row>
    <row r="26" s="1" customFormat="1" spans="1:8">
      <c r="A26" s="5"/>
      <c r="B26" s="6"/>
      <c r="G26" s="4"/>
      <c r="H26" s="4"/>
    </row>
    <row r="27" s="1" customFormat="1" spans="1:8">
      <c r="A27" s="5"/>
      <c r="B27" s="6"/>
      <c r="G27" s="4"/>
      <c r="H27" s="4"/>
    </row>
    <row r="28" s="1" customFormat="1" spans="1:8">
      <c r="A28" s="5"/>
      <c r="B28" s="6"/>
      <c r="G28" s="4"/>
      <c r="H28" s="4"/>
    </row>
    <row r="29" s="1" customFormat="1" spans="1:8">
      <c r="A29" s="2"/>
      <c r="B29" s="3"/>
      <c r="G29" s="4"/>
      <c r="H29" s="4"/>
    </row>
    <row r="30" s="1" customFormat="1" spans="1:8">
      <c r="A30" s="7" t="s">
        <v>5</v>
      </c>
      <c r="B30" s="6"/>
      <c r="G30" s="4"/>
      <c r="H30" s="4"/>
    </row>
    <row r="31" s="1" customFormat="1" spans="1:8">
      <c r="A31" s="7" t="s">
        <v>6</v>
      </c>
      <c r="B31" s="6"/>
      <c r="G31" s="4"/>
      <c r="H31" s="4"/>
    </row>
    <row r="32" s="1" customFormat="1" spans="1:8">
      <c r="A32" s="6" t="s">
        <v>7</v>
      </c>
      <c r="B32" s="6"/>
      <c r="G32" s="4"/>
      <c r="H32" s="4"/>
    </row>
    <row r="33" s="1" customFormat="1" spans="1:8">
      <c r="B33" s="3"/>
      <c r="G33" s="4"/>
      <c r="H33" s="4"/>
    </row>
    <row r="34" s="1" customFormat="1" spans="1:8">
      <c r="B34" s="3"/>
      <c r="G34" s="4"/>
      <c r="H34" s="4"/>
    </row>
    <row r="35" s="1" customFormat="1" spans="1:8">
      <c r="B35" s="3"/>
      <c r="G35" s="4"/>
      <c r="H35" s="4"/>
    </row>
    <row r="36" s="1" customFormat="1" spans="1:8">
      <c r="A36" s="2"/>
      <c r="B36" s="3"/>
      <c r="G36" s="4"/>
      <c r="H36" s="4"/>
    </row>
  </sheetData>
  <mergeCells count="4">
    <mergeCell ref="A32:B32"/>
    <mergeCell ref="A9:A14"/>
    <mergeCell ref="A16:A21"/>
    <mergeCell ref="A23:A2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H13" sqref="H13"/>
    </sheetView>
  </sheetViews>
  <sheetFormatPr defaultColWidth="9" defaultRowHeight="13.5" outlineLevelCol="7"/>
  <cols>
    <col min="1" max="1" width="9.25" style="2" customWidth="1"/>
    <col min="2" max="2" width="12.625" style="3" customWidth="1"/>
    <col min="3" max="3" width="12.25" style="1" customWidth="1"/>
    <col min="4" max="5" width="9" style="1"/>
    <col min="6" max="6" width="9.375" style="1" customWidth="1"/>
    <col min="7" max="8" width="6.375" style="4" customWidth="1"/>
    <col min="9" max="16384" width="9" style="1"/>
  </cols>
  <sheetData>
    <row r="1" s="1" customFormat="1" spans="1:8">
      <c r="A1" s="5"/>
      <c r="B1" s="6" t="s">
        <v>0</v>
      </c>
      <c r="C1" s="6" t="s">
        <v>1</v>
      </c>
      <c r="F1" s="7" t="s">
        <v>2</v>
      </c>
      <c r="G1" s="8">
        <f>223+43</f>
        <v>266</v>
      </c>
      <c r="H1" s="8">
        <f>228+45</f>
        <v>273</v>
      </c>
    </row>
    <row r="2" s="1" customFormat="1" spans="1:8">
      <c r="A2" s="5">
        <v>1</v>
      </c>
      <c r="B2" s="9">
        <v>253</v>
      </c>
      <c r="C2" s="9">
        <v>279</v>
      </c>
      <c r="F2" s="6" t="s">
        <v>3</v>
      </c>
      <c r="G2" s="8">
        <v>223</v>
      </c>
      <c r="H2" s="8">
        <v>228</v>
      </c>
    </row>
    <row r="3" s="1" customFormat="1" spans="1:8">
      <c r="A3" s="5">
        <v>2</v>
      </c>
      <c r="B3" s="9">
        <v>253</v>
      </c>
      <c r="C3" s="9">
        <v>279</v>
      </c>
      <c r="F3" s="7" t="s">
        <v>2</v>
      </c>
      <c r="G3" s="8">
        <f>230+90.3</f>
        <v>320.3</v>
      </c>
      <c r="H3" s="8">
        <f>235+90.3</f>
        <v>325.3</v>
      </c>
    </row>
    <row r="4" s="1" customFormat="1" spans="1:8">
      <c r="A4" s="5">
        <v>3</v>
      </c>
      <c r="B4" s="9">
        <v>253</v>
      </c>
      <c r="C4" s="9">
        <v>280</v>
      </c>
      <c r="F4" s="6" t="s">
        <v>4</v>
      </c>
      <c r="G4" s="8">
        <v>230</v>
      </c>
      <c r="H4" s="8">
        <v>235</v>
      </c>
    </row>
    <row r="5" s="1" customFormat="1" spans="1:8">
      <c r="A5" s="5">
        <v>4</v>
      </c>
      <c r="B5" s="9">
        <v>252</v>
      </c>
      <c r="C5" s="9">
        <v>279</v>
      </c>
    </row>
    <row r="6" s="1" customFormat="1" spans="1:8">
      <c r="A6" s="7" t="s">
        <v>5</v>
      </c>
      <c r="B6" s="9">
        <v>313</v>
      </c>
      <c r="C6" s="9">
        <v>344</v>
      </c>
      <c r="G6" s="4"/>
      <c r="H6" s="4"/>
    </row>
    <row r="7" s="1" customFormat="1" spans="1:8">
      <c r="A7" s="11"/>
      <c r="B7" s="12"/>
      <c r="C7" s="12"/>
      <c r="G7" s="4"/>
      <c r="H7" s="4"/>
    </row>
    <row r="8" s="1" customFormat="1" spans="1:8">
      <c r="A8" s="2"/>
      <c r="B8" s="3"/>
      <c r="G8" s="4"/>
      <c r="H8" s="4"/>
    </row>
    <row r="9" s="1" customFormat="1" spans="1:8">
      <c r="A9" s="5">
        <v>223</v>
      </c>
      <c r="B9" s="6" t="s">
        <v>8</v>
      </c>
      <c r="G9" s="4"/>
      <c r="H9" s="4"/>
    </row>
    <row r="10" s="1" customFormat="1" spans="1:8">
      <c r="A10" s="5"/>
      <c r="B10" s="6" t="s">
        <v>9</v>
      </c>
      <c r="G10" s="4"/>
      <c r="H10" s="4"/>
    </row>
    <row r="11" s="1" customFormat="1" spans="1:8">
      <c r="A11" s="5"/>
      <c r="B11" s="6" t="s">
        <v>10</v>
      </c>
      <c r="G11" s="4"/>
      <c r="H11" s="4"/>
    </row>
    <row r="12" s="1" customFormat="1" spans="1:8">
      <c r="A12" s="5"/>
      <c r="B12" s="6" t="s">
        <v>8</v>
      </c>
      <c r="G12" s="4"/>
      <c r="H12" s="4"/>
    </row>
    <row r="13" s="1" customFormat="1" spans="1:8">
      <c r="A13" s="5"/>
      <c r="B13" s="6" t="s">
        <v>11</v>
      </c>
      <c r="G13" s="4"/>
      <c r="H13" s="4"/>
    </row>
    <row r="14" s="1" customFormat="1" spans="1:8">
      <c r="A14" s="5"/>
      <c r="B14" s="6" t="s">
        <v>12</v>
      </c>
      <c r="G14" s="4"/>
      <c r="H14" s="4"/>
    </row>
    <row r="15" s="1" customFormat="1" spans="1:8">
      <c r="A15" s="2"/>
      <c r="B15" s="3"/>
      <c r="G15" s="4"/>
      <c r="H15" s="4"/>
    </row>
    <row r="16" s="1" customFormat="1" spans="1:8">
      <c r="A16" s="5">
        <v>225.5</v>
      </c>
      <c r="B16" s="6" t="s">
        <v>13</v>
      </c>
      <c r="G16" s="4"/>
      <c r="H16" s="4"/>
    </row>
    <row r="17" s="1" customFormat="1" spans="1:8">
      <c r="A17" s="5"/>
      <c r="B17" s="6" t="s">
        <v>14</v>
      </c>
      <c r="G17" s="4"/>
      <c r="H17" s="4"/>
    </row>
    <row r="18" s="1" customFormat="1" spans="1:8">
      <c r="A18" s="5"/>
      <c r="B18" s="6" t="s">
        <v>15</v>
      </c>
      <c r="G18" s="4"/>
      <c r="H18" s="4"/>
    </row>
    <row r="19" s="1" customFormat="1" spans="1:8">
      <c r="A19" s="5"/>
      <c r="B19" s="6" t="s">
        <v>16</v>
      </c>
      <c r="G19" s="4"/>
      <c r="H19" s="4"/>
    </row>
    <row r="20" s="1" customFormat="1" spans="1:8">
      <c r="A20" s="5"/>
      <c r="B20" s="6" t="s">
        <v>17</v>
      </c>
      <c r="G20" s="4"/>
      <c r="H20" s="4"/>
    </row>
    <row r="21" s="1" customFormat="1" spans="1:8">
      <c r="A21" s="5"/>
      <c r="B21" s="6" t="s">
        <v>18</v>
      </c>
      <c r="G21" s="4"/>
      <c r="H21" s="4"/>
    </row>
    <row r="22" s="1" customFormat="1" spans="1:8">
      <c r="A22" s="2"/>
      <c r="B22" s="3"/>
      <c r="G22" s="4"/>
      <c r="H22" s="4"/>
    </row>
    <row r="23" s="1" customFormat="1" spans="1:8">
      <c r="A23" s="5">
        <v>228</v>
      </c>
      <c r="B23" s="6" t="s">
        <v>19</v>
      </c>
      <c r="G23" s="4"/>
      <c r="H23" s="4"/>
    </row>
    <row r="24" s="1" customFormat="1" spans="1:8">
      <c r="A24" s="5"/>
      <c r="B24" s="6" t="s">
        <v>20</v>
      </c>
      <c r="G24" s="4"/>
      <c r="H24" s="4"/>
    </row>
    <row r="25" s="1" customFormat="1" spans="1:8">
      <c r="A25" s="5"/>
      <c r="B25" s="6" t="s">
        <v>21</v>
      </c>
      <c r="G25" s="4"/>
      <c r="H25" s="4"/>
    </row>
    <row r="26" s="1" customFormat="1" spans="1:8">
      <c r="A26" s="5"/>
      <c r="B26" s="6" t="s">
        <v>22</v>
      </c>
      <c r="G26" s="4"/>
      <c r="H26" s="4"/>
    </row>
    <row r="27" s="1" customFormat="1" spans="1:8">
      <c r="A27" s="5"/>
      <c r="B27" s="6" t="s">
        <v>23</v>
      </c>
      <c r="G27" s="4"/>
      <c r="H27" s="4"/>
    </row>
    <row r="28" s="1" customFormat="1" spans="1:8">
      <c r="A28" s="5"/>
      <c r="B28" s="6" t="s">
        <v>24</v>
      </c>
      <c r="G28" s="4"/>
      <c r="H28" s="4"/>
    </row>
    <row r="29" s="1" customFormat="1" spans="1:8">
      <c r="A29" s="2"/>
      <c r="B29" s="3"/>
      <c r="G29" s="4"/>
      <c r="H29" s="4"/>
    </row>
    <row r="30" s="1" customFormat="1" spans="1:8">
      <c r="A30" s="7" t="s">
        <v>5</v>
      </c>
      <c r="B30" s="6" t="s">
        <v>25</v>
      </c>
      <c r="G30" s="4"/>
      <c r="H30" s="4"/>
    </row>
    <row r="31" s="1" customFormat="1" spans="1:8">
      <c r="A31" s="7" t="s">
        <v>6</v>
      </c>
      <c r="B31" s="6" t="s">
        <v>26</v>
      </c>
      <c r="G31" s="4"/>
      <c r="H31" s="4"/>
    </row>
    <row r="32" s="1" customFormat="1" spans="1:8">
      <c r="A32" s="6" t="s">
        <v>7</v>
      </c>
      <c r="B32" s="6"/>
      <c r="G32" s="4"/>
      <c r="H32" s="4"/>
    </row>
    <row r="33" s="1" customFormat="1" spans="1:8">
      <c r="B33" s="3"/>
      <c r="G33" s="4"/>
      <c r="H33" s="4"/>
    </row>
    <row r="34" s="1" customFormat="1" spans="1:8">
      <c r="B34" s="3"/>
      <c r="G34" s="4"/>
      <c r="H34" s="4"/>
    </row>
    <row r="35" s="1" customFormat="1" spans="1:8">
      <c r="B35" s="3"/>
      <c r="G35" s="4"/>
      <c r="H35" s="4"/>
    </row>
    <row r="36" s="1" customFormat="1" spans="1:8">
      <c r="A36" s="2"/>
      <c r="B36" s="3"/>
      <c r="G36" s="4"/>
      <c r="H36" s="4"/>
    </row>
  </sheetData>
  <mergeCells count="4">
    <mergeCell ref="A32:B32"/>
    <mergeCell ref="A9:A14"/>
    <mergeCell ref="A16:A21"/>
    <mergeCell ref="A23:A2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E10" sqref="E10"/>
    </sheetView>
  </sheetViews>
  <sheetFormatPr defaultColWidth="9" defaultRowHeight="13.5" outlineLevelCol="7"/>
  <cols>
    <col min="1" max="1" width="9.25" style="2" customWidth="1"/>
    <col min="2" max="2" width="12.625" style="3" customWidth="1"/>
    <col min="3" max="3" width="12.25" style="1" customWidth="1"/>
    <col min="4" max="5" width="9" style="1"/>
    <col min="6" max="6" width="9.375" style="1" customWidth="1"/>
    <col min="7" max="8" width="6.375" style="4" customWidth="1"/>
    <col min="9" max="16384" width="9" style="1"/>
  </cols>
  <sheetData>
    <row r="1" s="1" customFormat="1" spans="1:8">
      <c r="A1" s="5"/>
      <c r="B1" s="6" t="s">
        <v>0</v>
      </c>
      <c r="C1" s="6" t="s">
        <v>1</v>
      </c>
      <c r="F1" s="7" t="s">
        <v>2</v>
      </c>
      <c r="G1" s="8">
        <f>223+43</f>
        <v>266</v>
      </c>
      <c r="H1" s="8">
        <f>228+45</f>
        <v>273</v>
      </c>
    </row>
    <row r="2" s="1" customFormat="1" spans="1:8">
      <c r="A2" s="5">
        <v>1</v>
      </c>
      <c r="B2" s="9">
        <v>253</v>
      </c>
      <c r="C2" s="9">
        <v>279</v>
      </c>
      <c r="F2" s="6" t="s">
        <v>3</v>
      </c>
      <c r="G2" s="8">
        <v>223</v>
      </c>
      <c r="H2" s="8">
        <v>228</v>
      </c>
    </row>
    <row r="3" s="1" customFormat="1" spans="1:8">
      <c r="A3" s="5">
        <v>2</v>
      </c>
      <c r="B3" s="9">
        <v>254</v>
      </c>
      <c r="C3" s="9">
        <v>280</v>
      </c>
      <c r="F3" s="7" t="s">
        <v>2</v>
      </c>
      <c r="G3" s="8">
        <f>230+90.3</f>
        <v>320.3</v>
      </c>
      <c r="H3" s="8">
        <f>235+90.3</f>
        <v>325.3</v>
      </c>
    </row>
    <row r="4" s="1" customFormat="1" spans="1:8">
      <c r="A4" s="5">
        <v>3</v>
      </c>
      <c r="B4" s="9">
        <v>254</v>
      </c>
      <c r="C4" s="9">
        <v>281</v>
      </c>
      <c r="F4" s="6" t="s">
        <v>4</v>
      </c>
      <c r="G4" s="8">
        <v>230</v>
      </c>
      <c r="H4" s="8">
        <v>235</v>
      </c>
    </row>
    <row r="5" s="1" customFormat="1" spans="1:8">
      <c r="A5" s="5">
        <v>4</v>
      </c>
      <c r="B5" s="9">
        <v>253</v>
      </c>
      <c r="C5" s="9">
        <v>279</v>
      </c>
    </row>
    <row r="6" s="1" customFormat="1" spans="1:8">
      <c r="A6" s="7" t="s">
        <v>5</v>
      </c>
      <c r="B6" s="9">
        <v>309</v>
      </c>
      <c r="C6" s="9">
        <v>341</v>
      </c>
      <c r="G6" s="4"/>
      <c r="H6" s="4"/>
    </row>
    <row r="7" s="1" customFormat="1" spans="1:8">
      <c r="A7" s="11"/>
      <c r="B7" s="12"/>
      <c r="C7" s="12"/>
      <c r="G7" s="4"/>
      <c r="H7" s="4"/>
    </row>
    <row r="8" s="1" customFormat="1" spans="1:8">
      <c r="A8" s="2"/>
      <c r="B8" s="3"/>
      <c r="G8" s="4"/>
      <c r="H8" s="4"/>
    </row>
    <row r="9" s="1" customFormat="1" spans="1:8">
      <c r="A9" s="5">
        <v>223</v>
      </c>
      <c r="B9" s="6" t="s">
        <v>27</v>
      </c>
      <c r="G9" s="4"/>
      <c r="H9" s="4"/>
    </row>
    <row r="10" s="1" customFormat="1" spans="1:8">
      <c r="A10" s="5"/>
      <c r="B10" s="6" t="s">
        <v>28</v>
      </c>
      <c r="G10" s="4"/>
      <c r="H10" s="4"/>
    </row>
    <row r="11" s="1" customFormat="1" spans="1:8">
      <c r="A11" s="5"/>
      <c r="B11" s="6" t="s">
        <v>29</v>
      </c>
      <c r="G11" s="4"/>
      <c r="H11" s="4"/>
    </row>
    <row r="12" s="1" customFormat="1" spans="1:8">
      <c r="A12" s="5"/>
      <c r="B12" s="6" t="s">
        <v>30</v>
      </c>
      <c r="G12" s="4"/>
      <c r="H12" s="4"/>
    </row>
    <row r="13" s="1" customFormat="1" spans="1:8">
      <c r="A13" s="5"/>
      <c r="B13" s="13" t="s">
        <v>31</v>
      </c>
      <c r="G13" s="4"/>
      <c r="H13" s="4"/>
    </row>
    <row r="14" s="1" customFormat="1" spans="1:8">
      <c r="A14" s="5"/>
      <c r="B14" s="6" t="s">
        <v>9</v>
      </c>
      <c r="G14" s="4"/>
      <c r="H14" s="4"/>
    </row>
    <row r="15" s="1" customFormat="1" spans="1:8">
      <c r="A15" s="2"/>
      <c r="B15" s="3"/>
      <c r="G15" s="4"/>
      <c r="H15" s="4"/>
    </row>
    <row r="16" s="1" customFormat="1" spans="1:8">
      <c r="A16" s="5">
        <v>225.5</v>
      </c>
      <c r="B16" s="6" t="s">
        <v>32</v>
      </c>
      <c r="G16" s="4"/>
      <c r="H16" s="4"/>
    </row>
    <row r="17" s="1" customFormat="1" spans="1:8">
      <c r="A17" s="5"/>
      <c r="B17" s="6" t="s">
        <v>33</v>
      </c>
      <c r="G17" s="4"/>
      <c r="H17" s="4"/>
    </row>
    <row r="18" s="1" customFormat="1" spans="1:8">
      <c r="A18" s="5"/>
      <c r="B18" s="6" t="s">
        <v>34</v>
      </c>
      <c r="G18" s="4"/>
      <c r="H18" s="4"/>
    </row>
    <row r="19" s="1" customFormat="1" spans="1:8">
      <c r="A19" s="5"/>
      <c r="B19" s="6" t="s">
        <v>35</v>
      </c>
      <c r="G19" s="4"/>
      <c r="H19" s="4"/>
    </row>
    <row r="20" s="1" customFormat="1" spans="1:8">
      <c r="A20" s="5"/>
      <c r="B20" s="13" t="s">
        <v>36</v>
      </c>
      <c r="G20" s="4"/>
      <c r="H20" s="4"/>
    </row>
    <row r="21" s="1" customFormat="1" spans="1:8">
      <c r="A21" s="5"/>
      <c r="B21" s="6" t="s">
        <v>37</v>
      </c>
      <c r="G21" s="4"/>
      <c r="H21" s="4"/>
    </row>
    <row r="22" s="1" customFormat="1" spans="1:8">
      <c r="A22" s="2"/>
      <c r="B22" s="3"/>
      <c r="G22" s="4"/>
      <c r="H22" s="4"/>
    </row>
    <row r="23" s="1" customFormat="1" spans="1:8">
      <c r="A23" s="5">
        <v>228</v>
      </c>
      <c r="B23" s="6" t="s">
        <v>19</v>
      </c>
      <c r="G23" s="4"/>
      <c r="H23" s="4"/>
    </row>
    <row r="24" s="1" customFormat="1" spans="1:8">
      <c r="A24" s="5"/>
      <c r="B24" s="6" t="s">
        <v>38</v>
      </c>
      <c r="G24" s="4"/>
      <c r="H24" s="4"/>
    </row>
    <row r="25" s="1" customFormat="1" spans="1:8">
      <c r="A25" s="5"/>
      <c r="B25" s="6" t="s">
        <v>39</v>
      </c>
      <c r="G25" s="4"/>
      <c r="H25" s="4"/>
    </row>
    <row r="26" s="1" customFormat="1" spans="1:8">
      <c r="A26" s="5"/>
      <c r="B26" s="6" t="s">
        <v>40</v>
      </c>
      <c r="G26" s="4"/>
      <c r="H26" s="4"/>
    </row>
    <row r="27" s="1" customFormat="1" spans="1:8">
      <c r="A27" s="5"/>
      <c r="B27" s="13" t="s">
        <v>41</v>
      </c>
      <c r="G27" s="4"/>
      <c r="H27" s="4"/>
    </row>
    <row r="28" s="1" customFormat="1" spans="1:8">
      <c r="A28" s="5"/>
      <c r="B28" s="14" t="s">
        <v>11</v>
      </c>
      <c r="G28" s="4"/>
      <c r="H28" s="4"/>
    </row>
    <row r="29" s="1" customFormat="1" spans="1:8">
      <c r="A29" s="2"/>
      <c r="B29" s="3"/>
      <c r="G29" s="4"/>
      <c r="H29" s="4"/>
    </row>
    <row r="30" s="1" customFormat="1" spans="1:8">
      <c r="A30" s="7" t="s">
        <v>5</v>
      </c>
      <c r="B30" s="6" t="s">
        <v>42</v>
      </c>
      <c r="G30" s="4"/>
      <c r="H30" s="4"/>
    </row>
    <row r="31" s="1" customFormat="1" spans="1:8">
      <c r="A31" s="7" t="s">
        <v>6</v>
      </c>
      <c r="B31" s="6" t="s">
        <v>43</v>
      </c>
      <c r="G31" s="4"/>
      <c r="H31" s="4"/>
    </row>
    <row r="32" s="1" customFormat="1" spans="1:8">
      <c r="A32" s="6" t="s">
        <v>7</v>
      </c>
      <c r="B32" s="6"/>
      <c r="G32" s="4"/>
      <c r="H32" s="4"/>
    </row>
    <row r="33" s="1" customFormat="1" spans="1:8">
      <c r="B33" s="3"/>
      <c r="G33" s="4"/>
      <c r="H33" s="4"/>
    </row>
    <row r="34" s="1" customFormat="1" spans="1:8">
      <c r="B34" s="3"/>
      <c r="G34" s="4"/>
      <c r="H34" s="4"/>
    </row>
    <row r="35" s="1" customFormat="1" spans="1:8">
      <c r="B35" s="3"/>
      <c r="G35" s="4"/>
      <c r="H35" s="4"/>
    </row>
    <row r="36" s="1" customFormat="1" spans="1:8">
      <c r="A36" s="2"/>
      <c r="B36" s="3"/>
      <c r="G36" s="4"/>
      <c r="H36" s="4"/>
    </row>
  </sheetData>
  <mergeCells count="4">
    <mergeCell ref="A32:B32"/>
    <mergeCell ref="A9:A14"/>
    <mergeCell ref="A16:A21"/>
    <mergeCell ref="A23:A28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opLeftCell="A10" workbookViewId="0">
      <selection activeCell="I22" sqref="I22"/>
    </sheetView>
  </sheetViews>
  <sheetFormatPr defaultColWidth="9" defaultRowHeight="13.5" outlineLevelCol="7"/>
  <cols>
    <col min="1" max="1" width="9.25" style="2" customWidth="1"/>
    <col min="2" max="2" width="12.625" style="3" customWidth="1"/>
    <col min="3" max="3" width="12.25" style="1" customWidth="1"/>
    <col min="4" max="5" width="9" style="1"/>
    <col min="6" max="6" width="9.375" style="1" customWidth="1"/>
    <col min="7" max="8" width="6.375" style="4" customWidth="1"/>
    <col min="9" max="16384" width="9" style="1"/>
  </cols>
  <sheetData>
    <row r="1" s="1" customFormat="1" spans="1:8">
      <c r="A1" s="5"/>
      <c r="B1" s="6" t="s">
        <v>0</v>
      </c>
      <c r="C1" s="6" t="s">
        <v>1</v>
      </c>
      <c r="F1" s="7" t="s">
        <v>2</v>
      </c>
      <c r="G1" s="8">
        <f>223+43</f>
        <v>266</v>
      </c>
      <c r="H1" s="8">
        <f>228+45</f>
        <v>273</v>
      </c>
    </row>
    <row r="2" s="1" customFormat="1" spans="1:8">
      <c r="A2" s="5">
        <v>1</v>
      </c>
      <c r="B2" s="9">
        <v>255</v>
      </c>
      <c r="C2" s="9">
        <v>282</v>
      </c>
      <c r="F2" s="6" t="s">
        <v>3</v>
      </c>
      <c r="G2" s="8">
        <v>223</v>
      </c>
      <c r="H2" s="8">
        <v>228</v>
      </c>
    </row>
    <row r="3" s="1" customFormat="1" spans="1:8">
      <c r="A3" s="5">
        <v>2</v>
      </c>
      <c r="B3" s="9">
        <v>254</v>
      </c>
      <c r="C3" s="9">
        <v>280</v>
      </c>
      <c r="F3" s="7" t="s">
        <v>2</v>
      </c>
      <c r="G3" s="8">
        <f>230+90.3</f>
        <v>320.3</v>
      </c>
      <c r="H3" s="8">
        <f>235+90.3</f>
        <v>325.3</v>
      </c>
    </row>
    <row r="4" s="1" customFormat="1" spans="1:8">
      <c r="A4" s="5">
        <v>3</v>
      </c>
      <c r="B4" s="9">
        <v>254</v>
      </c>
      <c r="C4" s="9">
        <v>280</v>
      </c>
      <c r="F4" s="6" t="s">
        <v>4</v>
      </c>
      <c r="G4" s="8">
        <v>230</v>
      </c>
      <c r="H4" s="8">
        <v>235</v>
      </c>
    </row>
    <row r="5" s="1" customFormat="1" spans="1:8">
      <c r="A5" s="5">
        <v>4</v>
      </c>
      <c r="B5" s="9">
        <v>252</v>
      </c>
      <c r="C5" s="9">
        <v>279</v>
      </c>
    </row>
    <row r="6" s="1" customFormat="1" spans="1:8">
      <c r="A6" s="7" t="s">
        <v>5</v>
      </c>
      <c r="B6" s="9">
        <v>310</v>
      </c>
      <c r="C6" s="9">
        <v>340</v>
      </c>
      <c r="G6" s="4"/>
      <c r="H6" s="4"/>
    </row>
    <row r="7" s="1" customFormat="1" spans="1:8">
      <c r="A7" s="11"/>
      <c r="B7" s="12"/>
      <c r="C7" s="12"/>
      <c r="G7" s="4"/>
      <c r="H7" s="4"/>
    </row>
    <row r="8" s="1" customFormat="1" spans="1:8">
      <c r="A8" s="2"/>
      <c r="B8" s="3"/>
      <c r="G8" s="4"/>
      <c r="H8" s="4"/>
    </row>
    <row r="9" s="1" customFormat="1" spans="1:8">
      <c r="A9" s="5">
        <v>223</v>
      </c>
      <c r="B9" s="6" t="s">
        <v>44</v>
      </c>
      <c r="G9" s="4"/>
      <c r="H9" s="4"/>
    </row>
    <row r="10" s="1" customFormat="1" spans="1:8">
      <c r="A10" s="5"/>
      <c r="B10" s="6" t="s">
        <v>45</v>
      </c>
      <c r="G10" s="4"/>
      <c r="H10" s="4"/>
    </row>
    <row r="11" s="1" customFormat="1" spans="1:8">
      <c r="A11" s="5"/>
      <c r="B11" s="6" t="s">
        <v>46</v>
      </c>
      <c r="G11" s="4"/>
      <c r="H11" s="4"/>
    </row>
    <row r="12" s="1" customFormat="1" spans="1:8">
      <c r="A12" s="5"/>
      <c r="B12" s="6" t="s">
        <v>47</v>
      </c>
      <c r="G12" s="4"/>
      <c r="H12" s="4"/>
    </row>
    <row r="13" s="1" customFormat="1" spans="1:8">
      <c r="A13" s="5"/>
      <c r="B13" s="6" t="s">
        <v>48</v>
      </c>
      <c r="G13" s="4"/>
      <c r="H13" s="4"/>
    </row>
    <row r="14" s="1" customFormat="1" spans="1:8">
      <c r="A14" s="5"/>
      <c r="B14" s="6" t="s">
        <v>11</v>
      </c>
      <c r="G14" s="4"/>
      <c r="H14" s="4"/>
    </row>
    <row r="15" s="1" customFormat="1" spans="1:8">
      <c r="A15" s="2"/>
      <c r="B15" s="3"/>
      <c r="G15" s="4"/>
      <c r="H15" s="4"/>
    </row>
    <row r="16" s="1" customFormat="1" spans="1:8">
      <c r="A16" s="5">
        <v>225.5</v>
      </c>
      <c r="B16" s="6" t="s">
        <v>49</v>
      </c>
      <c r="G16" s="4"/>
      <c r="H16" s="4"/>
    </row>
    <row r="17" s="1" customFormat="1" spans="1:8">
      <c r="A17" s="5"/>
      <c r="B17" s="6" t="s">
        <v>50</v>
      </c>
      <c r="G17" s="4"/>
      <c r="H17" s="4"/>
    </row>
    <row r="18" s="1" customFormat="1" spans="1:8">
      <c r="A18" s="5"/>
      <c r="B18" s="6" t="s">
        <v>51</v>
      </c>
      <c r="G18" s="4"/>
      <c r="H18" s="4"/>
    </row>
    <row r="19" s="1" customFormat="1" spans="1:8">
      <c r="A19" s="5"/>
      <c r="B19" s="6" t="s">
        <v>52</v>
      </c>
      <c r="G19" s="4"/>
      <c r="H19" s="4"/>
    </row>
    <row r="20" s="1" customFormat="1" spans="1:8">
      <c r="A20" s="5"/>
      <c r="B20" s="6" t="s">
        <v>31</v>
      </c>
      <c r="G20" s="4"/>
      <c r="H20" s="4"/>
    </row>
    <row r="21" s="1" customFormat="1" spans="1:8">
      <c r="A21" s="5"/>
      <c r="B21" s="6" t="s">
        <v>53</v>
      </c>
      <c r="G21" s="4"/>
      <c r="H21" s="4"/>
    </row>
    <row r="22" s="1" customFormat="1" spans="1:8">
      <c r="A22" s="2"/>
      <c r="B22" s="3"/>
      <c r="G22" s="4"/>
      <c r="H22" s="4"/>
    </row>
    <row r="23" s="1" customFormat="1" spans="1:8">
      <c r="A23" s="5">
        <v>228</v>
      </c>
      <c r="B23" s="6" t="s">
        <v>54</v>
      </c>
      <c r="G23" s="4"/>
      <c r="H23" s="4"/>
    </row>
    <row r="24" s="1" customFormat="1" spans="1:8">
      <c r="A24" s="5"/>
      <c r="B24" s="6" t="s">
        <v>55</v>
      </c>
      <c r="G24" s="4"/>
      <c r="H24" s="4"/>
    </row>
    <row r="25" s="1" customFormat="1" spans="1:8">
      <c r="A25" s="5"/>
      <c r="B25" s="6" t="s">
        <v>56</v>
      </c>
      <c r="G25" s="4"/>
      <c r="H25" s="4"/>
    </row>
    <row r="26" s="1" customFormat="1" spans="1:8">
      <c r="A26" s="5"/>
      <c r="B26" s="6" t="s">
        <v>57</v>
      </c>
      <c r="G26" s="4"/>
      <c r="H26" s="4"/>
    </row>
    <row r="27" s="1" customFormat="1" spans="1:8">
      <c r="A27" s="5"/>
      <c r="B27" s="6" t="s">
        <v>13</v>
      </c>
      <c r="G27" s="4"/>
      <c r="H27" s="4"/>
    </row>
    <row r="28" s="1" customFormat="1" spans="1:8">
      <c r="A28" s="5"/>
      <c r="B28" s="6" t="s">
        <v>58</v>
      </c>
      <c r="G28" s="4"/>
      <c r="H28" s="4"/>
    </row>
    <row r="29" s="1" customFormat="1" spans="1:8">
      <c r="A29" s="2"/>
      <c r="B29" s="3"/>
      <c r="G29" s="4"/>
      <c r="H29" s="4"/>
    </row>
    <row r="30" s="1" customFormat="1" spans="1:8">
      <c r="A30" s="7" t="s">
        <v>5</v>
      </c>
      <c r="B30" s="6" t="s">
        <v>59</v>
      </c>
      <c r="G30" s="4"/>
      <c r="H30" s="4"/>
    </row>
    <row r="31" s="1" customFormat="1" spans="1:8">
      <c r="A31" s="7" t="s">
        <v>6</v>
      </c>
      <c r="B31" s="6" t="s">
        <v>60</v>
      </c>
      <c r="G31" s="4"/>
      <c r="H31" s="4"/>
    </row>
    <row r="32" s="1" customFormat="1" spans="1:8">
      <c r="A32" s="6" t="s">
        <v>7</v>
      </c>
      <c r="B32" s="6"/>
      <c r="G32" s="4"/>
      <c r="H32" s="4"/>
    </row>
    <row r="33" s="1" customFormat="1" spans="1:8">
      <c r="B33" s="3"/>
      <c r="G33" s="4"/>
      <c r="H33" s="4"/>
    </row>
    <row r="34" s="1" customFormat="1" spans="1:8">
      <c r="B34" s="3"/>
      <c r="G34" s="4"/>
      <c r="H34" s="4"/>
    </row>
    <row r="35" s="1" customFormat="1" spans="1:8">
      <c r="B35" s="3"/>
      <c r="G35" s="4"/>
      <c r="H35" s="4"/>
    </row>
    <row r="36" s="1" customFormat="1" spans="1:8">
      <c r="A36" s="2"/>
      <c r="B36" s="3"/>
      <c r="G36" s="4"/>
      <c r="H36" s="4"/>
    </row>
  </sheetData>
  <mergeCells count="4">
    <mergeCell ref="A32:B32"/>
    <mergeCell ref="A9:A14"/>
    <mergeCell ref="A16:A21"/>
    <mergeCell ref="A23:A2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F29" sqref="F29"/>
    </sheetView>
  </sheetViews>
  <sheetFormatPr defaultColWidth="9" defaultRowHeight="13.5" outlineLevelCol="7"/>
  <cols>
    <col min="1" max="1" width="9.25" style="2" customWidth="1"/>
    <col min="2" max="2" width="12.625" style="3" customWidth="1"/>
    <col min="3" max="3" width="12.25" style="1" customWidth="1"/>
    <col min="4" max="5" width="9" style="1"/>
    <col min="6" max="6" width="9.375" style="1" customWidth="1"/>
    <col min="7" max="8" width="6.375" style="4" customWidth="1"/>
    <col min="9" max="16384" width="9" style="1"/>
  </cols>
  <sheetData>
    <row r="1" s="1" customFormat="1" spans="1:8">
      <c r="A1" s="5"/>
      <c r="B1" s="6" t="s">
        <v>0</v>
      </c>
      <c r="C1" s="6" t="s">
        <v>1</v>
      </c>
      <c r="F1" s="7" t="s">
        <v>2</v>
      </c>
      <c r="G1" s="8">
        <f>223+43</f>
        <v>266</v>
      </c>
      <c r="H1" s="8">
        <f>228+45</f>
        <v>273</v>
      </c>
    </row>
    <row r="2" s="1" customFormat="1" spans="1:8">
      <c r="A2" s="5">
        <v>1</v>
      </c>
      <c r="B2" s="9">
        <v>255</v>
      </c>
      <c r="C2" s="9">
        <v>282</v>
      </c>
      <c r="F2" s="6" t="s">
        <v>3</v>
      </c>
      <c r="G2" s="8">
        <v>223</v>
      </c>
      <c r="H2" s="8">
        <v>228</v>
      </c>
    </row>
    <row r="3" s="1" customFormat="1" spans="1:8">
      <c r="A3" s="5">
        <v>2</v>
      </c>
      <c r="B3" s="9">
        <v>254</v>
      </c>
      <c r="C3" s="9">
        <v>281</v>
      </c>
      <c r="F3" s="7" t="s">
        <v>2</v>
      </c>
      <c r="G3" s="8">
        <f>230+90.3</f>
        <v>320.3</v>
      </c>
      <c r="H3" s="8">
        <f>235+90.3</f>
        <v>325.3</v>
      </c>
    </row>
    <row r="4" s="1" customFormat="1" spans="1:8">
      <c r="A4" s="5">
        <v>3</v>
      </c>
      <c r="B4" s="9">
        <v>251</v>
      </c>
      <c r="C4" s="9">
        <v>277</v>
      </c>
      <c r="F4" s="6" t="s">
        <v>4</v>
      </c>
      <c r="G4" s="8">
        <v>230</v>
      </c>
      <c r="H4" s="8">
        <v>235</v>
      </c>
    </row>
    <row r="5" s="1" customFormat="1" spans="1:8">
      <c r="A5" s="5">
        <v>4</v>
      </c>
      <c r="B5" s="9">
        <v>253</v>
      </c>
      <c r="C5" s="9">
        <v>281</v>
      </c>
    </row>
    <row r="6" s="1" customFormat="1" spans="1:8">
      <c r="A6" s="7" t="s">
        <v>5</v>
      </c>
      <c r="B6" s="9">
        <v>309</v>
      </c>
      <c r="C6" s="9">
        <v>341</v>
      </c>
      <c r="G6" s="4"/>
      <c r="H6" s="4"/>
    </row>
    <row r="7" s="1" customFormat="1" spans="1:8">
      <c r="A7" s="11"/>
      <c r="B7" s="12"/>
      <c r="C7" s="12"/>
      <c r="G7" s="4"/>
      <c r="H7" s="4"/>
    </row>
    <row r="8" s="1" customFormat="1" spans="1:8">
      <c r="A8" s="2"/>
      <c r="B8" s="3"/>
      <c r="G8" s="4"/>
      <c r="H8" s="4"/>
    </row>
    <row r="9" s="1" customFormat="1" spans="1:8">
      <c r="A9" s="5">
        <v>223</v>
      </c>
      <c r="B9" s="6" t="s">
        <v>61</v>
      </c>
      <c r="G9" s="4"/>
      <c r="H9" s="4"/>
    </row>
    <row r="10" s="1" customFormat="1" spans="1:8">
      <c r="A10" s="5"/>
      <c r="B10" s="6" t="s">
        <v>11</v>
      </c>
      <c r="G10" s="4"/>
      <c r="H10" s="4"/>
    </row>
    <row r="11" s="1" customFormat="1" spans="1:8">
      <c r="A11" s="5"/>
      <c r="B11" s="6" t="s">
        <v>23</v>
      </c>
      <c r="G11" s="4"/>
      <c r="H11" s="4"/>
    </row>
    <row r="12" s="1" customFormat="1" spans="1:8">
      <c r="A12" s="5"/>
      <c r="B12" s="6" t="s">
        <v>62</v>
      </c>
      <c r="G12" s="4"/>
      <c r="H12" s="4"/>
    </row>
    <row r="13" s="1" customFormat="1" spans="1:8">
      <c r="A13" s="5"/>
      <c r="B13" s="6" t="s">
        <v>63</v>
      </c>
      <c r="G13" s="4"/>
      <c r="H13" s="4"/>
    </row>
    <row r="14" s="1" customFormat="1" spans="1:8">
      <c r="A14" s="5"/>
      <c r="B14" s="6" t="s">
        <v>64</v>
      </c>
      <c r="G14" s="4"/>
      <c r="H14" s="4"/>
    </row>
    <row r="15" s="1" customFormat="1" spans="1:8">
      <c r="A15" s="2"/>
      <c r="B15" s="3"/>
      <c r="G15" s="4"/>
      <c r="H15" s="4"/>
    </row>
    <row r="16" s="1" customFormat="1" spans="1:8">
      <c r="A16" s="5">
        <v>225.5</v>
      </c>
      <c r="B16" s="6" t="s">
        <v>65</v>
      </c>
      <c r="G16" s="4"/>
      <c r="H16" s="4"/>
    </row>
    <row r="17" s="1" customFormat="1" spans="1:8">
      <c r="A17" s="5"/>
      <c r="B17" s="6" t="s">
        <v>66</v>
      </c>
      <c r="G17" s="4"/>
      <c r="H17" s="4"/>
    </row>
    <row r="18" s="1" customFormat="1" spans="1:8">
      <c r="A18" s="5"/>
      <c r="B18" s="6" t="s">
        <v>67</v>
      </c>
      <c r="G18" s="4"/>
      <c r="H18" s="4"/>
    </row>
    <row r="19" s="1" customFormat="1" spans="1:8">
      <c r="A19" s="5"/>
      <c r="B19" s="6" t="s">
        <v>64</v>
      </c>
      <c r="G19" s="4"/>
      <c r="H19" s="4"/>
    </row>
    <row r="20" s="1" customFormat="1" spans="1:8">
      <c r="A20" s="5"/>
      <c r="B20" s="6" t="s">
        <v>68</v>
      </c>
      <c r="G20" s="4"/>
      <c r="H20" s="4"/>
    </row>
    <row r="21" s="1" customFormat="1" spans="1:8">
      <c r="A21" s="5"/>
      <c r="B21" s="6" t="s">
        <v>20</v>
      </c>
      <c r="G21" s="4"/>
      <c r="H21" s="4"/>
    </row>
    <row r="22" s="1" customFormat="1" spans="1:8">
      <c r="A22" s="2"/>
      <c r="B22" s="3"/>
      <c r="G22" s="4"/>
      <c r="H22" s="4"/>
    </row>
    <row r="23" s="1" customFormat="1" spans="1:8">
      <c r="A23" s="5">
        <v>228</v>
      </c>
      <c r="B23" s="6" t="s">
        <v>69</v>
      </c>
      <c r="G23" s="4"/>
      <c r="H23" s="4"/>
    </row>
    <row r="24" s="1" customFormat="1" spans="1:8">
      <c r="A24" s="5"/>
      <c r="B24" s="6" t="s">
        <v>70</v>
      </c>
      <c r="G24" s="4"/>
      <c r="H24" s="4"/>
    </row>
    <row r="25" s="1" customFormat="1" spans="1:8">
      <c r="A25" s="5"/>
      <c r="B25" s="6" t="s">
        <v>71</v>
      </c>
      <c r="G25" s="4"/>
      <c r="H25" s="4"/>
    </row>
    <row r="26" s="1" customFormat="1" spans="1:8">
      <c r="A26" s="5"/>
      <c r="B26" s="6" t="s">
        <v>41</v>
      </c>
      <c r="G26" s="4"/>
      <c r="H26" s="4"/>
    </row>
    <row r="27" s="1" customFormat="1" spans="1:8">
      <c r="A27" s="5"/>
      <c r="B27" s="6" t="s">
        <v>16</v>
      </c>
      <c r="G27" s="4"/>
      <c r="H27" s="4"/>
    </row>
    <row r="28" s="1" customFormat="1" spans="1:8">
      <c r="A28" s="5"/>
      <c r="B28" s="6" t="s">
        <v>72</v>
      </c>
      <c r="G28" s="4"/>
      <c r="H28" s="4"/>
    </row>
    <row r="29" s="1" customFormat="1" spans="1:8">
      <c r="A29" s="2"/>
      <c r="B29" s="3"/>
      <c r="G29" s="4"/>
      <c r="H29" s="4"/>
    </row>
    <row r="30" s="1" customFormat="1" spans="1:8">
      <c r="A30" s="7" t="s">
        <v>5</v>
      </c>
      <c r="B30" s="6" t="s">
        <v>73</v>
      </c>
      <c r="G30" s="4"/>
      <c r="H30" s="4"/>
    </row>
    <row r="31" s="1" customFormat="1" spans="1:8">
      <c r="A31" s="7" t="s">
        <v>6</v>
      </c>
      <c r="B31" s="6" t="s">
        <v>10</v>
      </c>
      <c r="G31" s="4"/>
      <c r="H31" s="4"/>
    </row>
    <row r="32" s="1" customFormat="1" spans="1:8">
      <c r="A32" s="6" t="s">
        <v>7</v>
      </c>
      <c r="B32" s="6"/>
      <c r="G32" s="4"/>
      <c r="H32" s="4"/>
    </row>
    <row r="33" s="1" customFormat="1" spans="1:8">
      <c r="B33" s="3"/>
      <c r="G33" s="4"/>
      <c r="H33" s="4"/>
    </row>
    <row r="34" s="1" customFormat="1" spans="1:8">
      <c r="B34" s="3"/>
      <c r="G34" s="4"/>
      <c r="H34" s="4"/>
    </row>
    <row r="35" s="1" customFormat="1" spans="1:8">
      <c r="B35" s="3"/>
      <c r="G35" s="4"/>
      <c r="H35" s="4"/>
    </row>
    <row r="36" s="1" customFormat="1" spans="1:8">
      <c r="A36" s="2"/>
      <c r="B36" s="3"/>
      <c r="G36" s="4"/>
      <c r="H36" s="4"/>
    </row>
  </sheetData>
  <mergeCells count="4">
    <mergeCell ref="A32:B32"/>
    <mergeCell ref="A9:A14"/>
    <mergeCell ref="A16:A21"/>
    <mergeCell ref="A23:A2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topLeftCell="A4" workbookViewId="0">
      <selection activeCell="E21" sqref="E21"/>
    </sheetView>
  </sheetViews>
  <sheetFormatPr defaultColWidth="9" defaultRowHeight="13.5" outlineLevelCol="7"/>
  <cols>
    <col min="1" max="1" width="9.25" style="2" customWidth="1"/>
    <col min="2" max="2" width="12.625" style="3" customWidth="1"/>
    <col min="3" max="3" width="12.25" style="1" customWidth="1"/>
    <col min="4" max="5" width="9" style="1"/>
    <col min="6" max="6" width="9.375" style="1" customWidth="1"/>
    <col min="7" max="8" width="6.375" style="4" customWidth="1"/>
    <col min="9" max="16384" width="9" style="1"/>
  </cols>
  <sheetData>
    <row r="1" s="1" customFormat="1" spans="1:8">
      <c r="A1" s="5"/>
      <c r="B1" s="6" t="s">
        <v>0</v>
      </c>
      <c r="C1" s="6" t="s">
        <v>1</v>
      </c>
      <c r="F1" s="7" t="s">
        <v>2</v>
      </c>
      <c r="G1" s="8">
        <f>223+43</f>
        <v>266</v>
      </c>
      <c r="H1" s="8">
        <f>228+45</f>
        <v>273</v>
      </c>
    </row>
    <row r="2" s="1" customFormat="1" spans="1:8">
      <c r="A2" s="5">
        <v>1</v>
      </c>
      <c r="B2" s="9">
        <v>253</v>
      </c>
      <c r="C2" s="9">
        <v>279</v>
      </c>
      <c r="F2" s="6" t="s">
        <v>3</v>
      </c>
      <c r="G2" s="8">
        <v>223</v>
      </c>
      <c r="H2" s="8">
        <v>228</v>
      </c>
    </row>
    <row r="3" s="1" customFormat="1" spans="1:8">
      <c r="A3" s="5">
        <v>2</v>
      </c>
      <c r="B3" s="9">
        <v>253</v>
      </c>
      <c r="C3" s="9">
        <v>279</v>
      </c>
      <c r="F3" s="7" t="s">
        <v>2</v>
      </c>
      <c r="G3" s="8">
        <f>230+90.3</f>
        <v>320.3</v>
      </c>
      <c r="H3" s="8">
        <f>235+90.3</f>
        <v>325.3</v>
      </c>
    </row>
    <row r="4" s="1" customFormat="1" spans="1:8">
      <c r="A4" s="5">
        <v>3</v>
      </c>
      <c r="B4" s="9">
        <v>255</v>
      </c>
      <c r="C4" s="9">
        <v>281</v>
      </c>
      <c r="F4" s="6" t="s">
        <v>4</v>
      </c>
      <c r="G4" s="8">
        <v>230</v>
      </c>
      <c r="H4" s="8">
        <v>235</v>
      </c>
    </row>
    <row r="5" s="1" customFormat="1" spans="1:8">
      <c r="A5" s="5">
        <v>4</v>
      </c>
      <c r="B5" s="10">
        <v>251</v>
      </c>
      <c r="C5" s="10">
        <v>277</v>
      </c>
    </row>
    <row r="6" s="1" customFormat="1" spans="1:8">
      <c r="A6" s="7" t="s">
        <v>5</v>
      </c>
      <c r="B6" s="9">
        <v>310</v>
      </c>
      <c r="C6" s="9">
        <v>342</v>
      </c>
      <c r="G6" s="4"/>
      <c r="H6" s="4"/>
    </row>
    <row r="7" s="1" customFormat="1" spans="1:8">
      <c r="A7" s="11"/>
      <c r="B7" s="12"/>
      <c r="C7" s="12"/>
      <c r="G7" s="4"/>
      <c r="H7" s="4"/>
    </row>
    <row r="8" s="1" customFormat="1" spans="1:8">
      <c r="A8" s="2"/>
      <c r="B8" s="3"/>
      <c r="G8" s="4"/>
      <c r="H8" s="4"/>
    </row>
    <row r="9" s="1" customFormat="1" spans="1:8">
      <c r="A9" s="5">
        <v>223</v>
      </c>
      <c r="B9" s="6" t="s">
        <v>74</v>
      </c>
      <c r="G9" s="4"/>
      <c r="H9" s="4"/>
    </row>
    <row r="10" s="1" customFormat="1" spans="1:8">
      <c r="A10" s="5"/>
      <c r="B10" s="6" t="s">
        <v>75</v>
      </c>
      <c r="G10" s="4"/>
      <c r="H10" s="4"/>
    </row>
    <row r="11" s="1" customFormat="1" spans="1:8">
      <c r="A11" s="5"/>
      <c r="B11" s="6" t="s">
        <v>21</v>
      </c>
      <c r="G11" s="4"/>
      <c r="H11" s="4"/>
    </row>
    <row r="12" s="1" customFormat="1" spans="1:8">
      <c r="A12" s="5"/>
      <c r="B12" s="6" t="s">
        <v>76</v>
      </c>
      <c r="G12" s="4"/>
      <c r="H12" s="4"/>
    </row>
    <row r="13" s="1" customFormat="1" spans="1:8">
      <c r="A13" s="5"/>
      <c r="B13" s="10" t="s">
        <v>77</v>
      </c>
      <c r="G13" s="4"/>
      <c r="H13" s="4"/>
    </row>
    <row r="14" s="1" customFormat="1" spans="1:8">
      <c r="A14" s="5"/>
      <c r="B14" s="10" t="s">
        <v>53</v>
      </c>
      <c r="G14" s="4"/>
      <c r="H14" s="4"/>
    </row>
    <row r="15" s="1" customFormat="1" spans="1:8">
      <c r="A15" s="2"/>
      <c r="B15" s="3"/>
      <c r="G15" s="4"/>
      <c r="H15" s="4"/>
    </row>
    <row r="16" s="1" customFormat="1" spans="1:8">
      <c r="A16" s="5">
        <v>225.5</v>
      </c>
      <c r="B16" s="6" t="s">
        <v>78</v>
      </c>
      <c r="G16" s="4"/>
      <c r="H16" s="4"/>
    </row>
    <row r="17" s="1" customFormat="1" spans="1:8">
      <c r="A17" s="5"/>
      <c r="B17" s="6" t="s">
        <v>79</v>
      </c>
      <c r="G17" s="4"/>
      <c r="H17" s="4"/>
    </row>
    <row r="18" s="1" customFormat="1" spans="1:8">
      <c r="A18" s="5"/>
      <c r="B18" s="6" t="s">
        <v>38</v>
      </c>
      <c r="G18" s="4"/>
      <c r="H18" s="4"/>
    </row>
    <row r="19" s="1" customFormat="1" spans="1:8">
      <c r="A19" s="5"/>
      <c r="B19" s="6" t="s">
        <v>80</v>
      </c>
      <c r="G19" s="4"/>
      <c r="H19" s="4"/>
    </row>
    <row r="20" s="1" customFormat="1" spans="1:8">
      <c r="A20" s="5"/>
      <c r="B20" s="10" t="s">
        <v>81</v>
      </c>
      <c r="G20" s="4"/>
      <c r="H20" s="4"/>
    </row>
    <row r="21" s="1" customFormat="1" spans="1:8">
      <c r="A21" s="5"/>
      <c r="B21" s="10" t="s">
        <v>82</v>
      </c>
      <c r="G21" s="4"/>
      <c r="H21" s="4"/>
    </row>
    <row r="22" s="1" customFormat="1" spans="1:8">
      <c r="A22" s="2"/>
      <c r="B22" s="3"/>
      <c r="G22" s="4"/>
      <c r="H22" s="4"/>
    </row>
    <row r="23" s="1" customFormat="1" spans="1:8">
      <c r="A23" s="5">
        <v>228</v>
      </c>
      <c r="B23" s="6" t="s">
        <v>83</v>
      </c>
      <c r="G23" s="4"/>
      <c r="H23" s="4"/>
    </row>
    <row r="24" s="1" customFormat="1" spans="1:8">
      <c r="A24" s="5"/>
      <c r="B24" s="6" t="s">
        <v>84</v>
      </c>
      <c r="G24" s="4"/>
      <c r="H24" s="4"/>
    </row>
    <row r="25" s="1" customFormat="1" spans="1:8">
      <c r="A25" s="5"/>
      <c r="B25" s="6" t="s">
        <v>58</v>
      </c>
      <c r="G25" s="4"/>
      <c r="H25" s="4"/>
    </row>
    <row r="26" s="1" customFormat="1" spans="1:8">
      <c r="A26" s="5"/>
      <c r="B26" s="6" t="s">
        <v>85</v>
      </c>
      <c r="G26" s="4"/>
      <c r="H26" s="4"/>
    </row>
    <row r="27" s="1" customFormat="1" spans="1:8">
      <c r="A27" s="5"/>
      <c r="B27" s="10" t="s">
        <v>86</v>
      </c>
      <c r="G27" s="4"/>
      <c r="H27" s="4"/>
    </row>
    <row r="28" s="1" customFormat="1" spans="1:8">
      <c r="A28" s="5"/>
      <c r="B28" s="10" t="s">
        <v>87</v>
      </c>
      <c r="G28" s="4"/>
      <c r="H28" s="4"/>
    </row>
    <row r="29" s="1" customFormat="1" spans="1:8">
      <c r="A29" s="2"/>
      <c r="B29" s="3"/>
      <c r="G29" s="4"/>
      <c r="H29" s="4"/>
    </row>
    <row r="30" s="1" customFormat="1" spans="1:8">
      <c r="A30" s="7" t="s">
        <v>5</v>
      </c>
      <c r="B30" s="6" t="s">
        <v>88</v>
      </c>
      <c r="G30" s="4"/>
      <c r="H30" s="4"/>
    </row>
    <row r="31" s="1" customFormat="1" spans="1:8">
      <c r="A31" s="7" t="s">
        <v>6</v>
      </c>
      <c r="B31" s="6" t="s">
        <v>89</v>
      </c>
      <c r="G31" s="4"/>
      <c r="H31" s="4"/>
    </row>
    <row r="32" s="1" customFormat="1" spans="1:8">
      <c r="A32" s="6" t="s">
        <v>7</v>
      </c>
      <c r="B32" s="6"/>
      <c r="G32" s="4"/>
      <c r="H32" s="4"/>
    </row>
    <row r="33" s="1" customFormat="1" spans="1:8">
      <c r="B33" s="3"/>
      <c r="G33" s="4"/>
      <c r="H33" s="4"/>
    </row>
    <row r="34" s="1" customFormat="1" spans="1:8">
      <c r="B34" s="3"/>
      <c r="G34" s="4"/>
      <c r="H34" s="4"/>
    </row>
    <row r="35" s="1" customFormat="1" spans="1:8">
      <c r="B35" s="3"/>
      <c r="G35" s="4"/>
      <c r="H35" s="4"/>
    </row>
    <row r="36" s="1" customFormat="1" spans="1:8">
      <c r="A36" s="2"/>
      <c r="B36" s="3"/>
      <c r="G36" s="4"/>
      <c r="H36" s="4"/>
    </row>
  </sheetData>
  <mergeCells count="4">
    <mergeCell ref="A32:B32"/>
    <mergeCell ref="A9:A14"/>
    <mergeCell ref="A16:A21"/>
    <mergeCell ref="A23:A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template</vt:lpstr>
      <vt:lpstr>3004</vt:lpstr>
      <vt:lpstr>3005</vt:lpstr>
      <vt:lpstr>3002</vt:lpstr>
      <vt:lpstr>3003</vt:lpstr>
      <vt:lpstr>3001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Tipsy</cp:lastModifiedBy>
  <dcterms:created xsi:type="dcterms:W3CDTF">2023-05-12T11:15:00Z</dcterms:created>
  <dcterms:modified xsi:type="dcterms:W3CDTF">2025-11-06T05:47:55Z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A00C91CA5EA84F95BB456D9D21969197_12</vt:lpwstr>
  </property>
</Properties>
</file>